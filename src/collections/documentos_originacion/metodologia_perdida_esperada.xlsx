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ología EL" sheetId="1" state="visible" r:id="rId1"/>
    <sheet xmlns:r="http://schemas.openxmlformats.org/officeDocument/2006/relationships" name="Ejemplos Numéricos" sheetId="2" state="visible" r:id="rId2"/>
    <sheet xmlns:r="http://schemas.openxmlformats.org/officeDocument/2006/relationships" name="LGD por Segmen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MXN &quot;#,##0"/>
    <numFmt numFmtId="165" formatCode="&quot;MXN &quot;#,##0.00"/>
    <numFmt numFmtId="166" formatCode="0.00 – 0.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b val="1"/>
      <color rgb="00003875"/>
      <sz val="9"/>
    </font>
    <font>
      <name val="Arial"/>
      <color rgb="00000000"/>
      <sz val="9"/>
    </font>
    <font>
      <name val="Arial"/>
      <b val="1"/>
      <color rgb="00003875"/>
      <sz val="14"/>
    </font>
    <font>
      <name val="Arial"/>
      <i val="1"/>
      <color rgb="00333333"/>
      <sz val="10"/>
    </font>
    <font>
      <name val="Arial"/>
      <b val="1"/>
      <color rgb="00FFFFFF"/>
      <sz val="12"/>
    </font>
  </fonts>
  <fills count="10">
    <fill>
      <patternFill/>
    </fill>
    <fill>
      <patternFill patternType="gray125"/>
    </fill>
    <fill>
      <patternFill patternType="solid">
        <fgColor rgb="00003875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 wrapText="1"/>
    </xf>
    <xf numFmtId="10" fontId="7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7" fillId="4" borderId="1" applyAlignment="1" pivotButton="0" quotePrefix="0" xfId="0">
      <alignment horizontal="right" vertical="center" wrapText="1"/>
    </xf>
    <xf numFmtId="2" fontId="7" fillId="4" borderId="1" applyAlignment="1" pivotButton="0" quotePrefix="0" xfId="0">
      <alignment horizontal="center" vertical="center" wrapText="1"/>
    </xf>
    <xf numFmtId="165" fontId="7" fillId="4" borderId="1" applyAlignment="1" pivotButton="0" quotePrefix="0" xfId="0">
      <alignment horizontal="right" vertical="center" wrapText="1"/>
    </xf>
    <xf numFmtId="0" fontId="5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10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right" vertical="center" wrapText="1"/>
    </xf>
    <xf numFmtId="2" fontId="7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right" vertical="center" wrapText="1"/>
    </xf>
    <xf numFmtId="0" fontId="5" fillId="8" borderId="1" applyAlignment="1" pivotButton="0" quotePrefix="0" xfId="0">
      <alignment horizontal="center" vertical="center" wrapText="1"/>
    </xf>
    <xf numFmtId="0" fontId="4" fillId="9" borderId="0" applyAlignment="1" pivotButton="0" quotePrefix="0" xfId="0">
      <alignment horizontal="center" vertical="center"/>
    </xf>
    <xf numFmtId="164" fontId="4" fillId="9" borderId="1" applyAlignment="1" pivotButton="0" quotePrefix="0" xfId="0">
      <alignment horizontal="right" vertical="center"/>
    </xf>
    <xf numFmtId="165" fontId="4" fillId="9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center" vertical="center" wrapText="1"/>
    </xf>
    <xf numFmtId="166" fontId="7" fillId="3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6" fontId="7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28" customWidth="1" min="3" max="3"/>
    <col width="28" customWidth="1" min="4" max="4"/>
    <col width="18" customWidth="1" min="5" max="5"/>
    <col width="14" customWidth="1" min="6" max="6"/>
    <col width="30" customWidth="1" min="7" max="7"/>
  </cols>
  <sheetData>
    <row r="1" ht="30" customHeight="1">
      <c r="A1" s="1" t="inlineStr">
        <is>
          <t>METODOLOGÍA DE PÉRDIDA ESPERADA — EL = PD × EAD × LGD</t>
        </is>
      </c>
    </row>
    <row r="2" ht="16" customHeight="1">
      <c r="A2" s="2" t="inlineStr">
        <is>
          <t>CNBV — Referencia técnica para el sistema de scoring crediticio | Versión 2024</t>
        </is>
      </c>
    </row>
    <row r="4" ht="22" customHeight="1">
      <c r="A4" s="3" t="inlineStr">
        <is>
          <t>1. COMPONENTES DE LA PÉRDIDA ESPERADA</t>
        </is>
      </c>
    </row>
    <row r="5" ht="30" customHeight="1">
      <c r="A5" s="4" t="inlineStr">
        <is>
          <t>Componente</t>
        </is>
      </c>
      <c r="B5" s="4" t="inlineStr">
        <is>
          <t>Símbolo</t>
        </is>
      </c>
      <c r="C5" s="4" t="inlineStr">
        <is>
          <t>Definición</t>
        </is>
      </c>
      <c r="D5" s="4" t="inlineStr">
        <is>
          <t>Fuente de estimación</t>
        </is>
      </c>
      <c r="E5" s="4" t="inlineStr">
        <is>
          <t>Valor estándar CUB</t>
        </is>
      </c>
      <c r="F5" s="4" t="inlineStr">
        <is>
          <t>Rango típico</t>
        </is>
      </c>
      <c r="G5" s="4" t="inlineStr">
        <is>
          <t>Notas regulatorias</t>
        </is>
      </c>
    </row>
    <row r="6" ht="55" customHeight="1">
      <c r="A6" s="5" t="inlineStr">
        <is>
          <t>Probabilidad de Incumplimiento</t>
        </is>
      </c>
      <c r="B6" s="6" t="inlineStr">
        <is>
          <t>PD</t>
        </is>
      </c>
      <c r="C6" s="7" t="inlineStr">
        <is>
          <t>Probabilidad de que el acreditado deje de pagar en los próximos 12 meses.</t>
        </is>
      </c>
      <c r="D6" s="7" t="inlineStr">
        <is>
          <t>Modelo LightGBM (AUC=0.768). Output: score entre 0 y 1.</t>
        </is>
      </c>
      <c r="E6" s="8" t="inlineStr">
        <is>
          <t>Variable por solicitante</t>
        </is>
      </c>
      <c r="F6" s="8" t="inlineStr">
        <is>
          <t>0.01 – 0.95</t>
        </is>
      </c>
      <c r="G6" s="7" t="inlineStr">
        <is>
          <t>Principal output del modelo de originación. Determina la clasificación A-E de cartera.</t>
        </is>
      </c>
    </row>
    <row r="7" ht="55" customHeight="1">
      <c r="A7" s="9" t="inlineStr">
        <is>
          <t>Exposición al Incumplimiento</t>
        </is>
      </c>
      <c r="B7" s="10" t="inlineStr">
        <is>
          <t>EAD</t>
        </is>
      </c>
      <c r="C7" s="11" t="inlineStr">
        <is>
          <t>Saldo vigente esperado al momento en que ocurre el incumplimiento.</t>
        </is>
      </c>
      <c r="D7" s="11" t="inlineStr">
        <is>
          <t>Para créditos a plazo: saldo insoluto. Para revolventes: límite × factor de conversión (CCF).</t>
        </is>
      </c>
      <c r="E7" s="12" t="inlineStr">
        <is>
          <t>Saldo insoluto o AMT_CREDIT</t>
        </is>
      </c>
      <c r="F7" s="12" t="inlineStr">
        <is>
          <t>MXN 5,000 – 500,000</t>
        </is>
      </c>
      <c r="G7" s="11" t="inlineStr">
        <is>
          <t>CCF estándar CNBV para tarjeta de crédito: 0.75 del límite no utilizado.</t>
        </is>
      </c>
    </row>
    <row r="8" ht="55" customHeight="1">
      <c r="A8" s="5" t="inlineStr">
        <is>
          <t>Pérdida dado el Incumplimiento</t>
        </is>
      </c>
      <c r="B8" s="6" t="inlineStr">
        <is>
          <t>LGD</t>
        </is>
      </c>
      <c r="C8" s="7" t="inlineStr">
        <is>
          <t>Porcentaje del EAD que no se recupera después del incumplimiento.</t>
        </is>
      </c>
      <c r="D8" s="7" t="inlineStr">
        <is>
          <t>Estimada con base en recuperaciones históricas. Para instituciones sin historial: usar valores estándar CUB.</t>
        </is>
      </c>
      <c r="E8" s="8" t="inlineStr">
        <is>
          <t>0.45 Cash Loan
0.60 Revolving
0.35 con garantía real</t>
        </is>
      </c>
      <c r="F8" s="8" t="inlineStr">
        <is>
          <t>0.10 – 0.90</t>
        </is>
      </c>
      <c r="G8" s="7" t="inlineStr">
        <is>
          <t>LGD = 1 - Tasa de Recuperación. A mayor garantía, menor LGD.</t>
        </is>
      </c>
    </row>
    <row r="9" ht="55" customHeight="1">
      <c r="A9" s="13" t="inlineStr">
        <is>
          <t>Pérdida Esperada</t>
        </is>
      </c>
      <c r="B9" s="14" t="inlineStr">
        <is>
          <t>EL</t>
        </is>
      </c>
      <c r="C9" s="15" t="inlineStr">
        <is>
          <t>Monto promedio que la institución espera perder por concepto de crédito en 12 meses.</t>
        </is>
      </c>
      <c r="D9" s="15" t="inlineStr">
        <is>
          <t>EL = PD × EAD × LGD</t>
        </is>
      </c>
      <c r="E9" s="16" t="inlineStr">
        <is>
          <t>Variable calculada</t>
        </is>
      </c>
      <c r="F9" s="16" t="inlineStr">
        <is>
          <t>MXN 100 – 50,000 por crédito</t>
        </is>
      </c>
      <c r="G9" s="15" t="inlineStr">
        <is>
          <t>EL se reserva contablemente. Mayor EL = mayor % de reservas requerido (Grado A-E).</t>
        </is>
      </c>
    </row>
    <row r="11" ht="22" customHeight="1">
      <c r="A11" s="3" t="inlineStr">
        <is>
          <t>2. FÓRMULA DE CÁLCULO</t>
        </is>
      </c>
    </row>
    <row r="12" ht="30" customHeight="1">
      <c r="A12" s="17" t="inlineStr">
        <is>
          <t>EL = PD × EAD × LGD</t>
        </is>
      </c>
    </row>
    <row r="13" ht="20" customHeight="1">
      <c r="A13" s="18" t="inlineStr">
        <is>
          <t>Pérdida Esperada Total del Portafolio = Σ (PDᵢ × EADᵢ × LGDᵢ) para i = 1..n créditos</t>
        </is>
      </c>
    </row>
  </sheetData>
  <mergeCells count="6">
    <mergeCell ref="A13:G13"/>
    <mergeCell ref="A1:G1"/>
    <mergeCell ref="A12:G12"/>
    <mergeCell ref="A4:G4"/>
    <mergeCell ref="A2:G2"/>
    <mergeCell ref="A11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1" customWidth="1" min="5" max="5"/>
    <col width="14" customWidth="1" min="6" max="6"/>
    <col width="13" customWidth="1" min="7" max="7"/>
    <col width="18" customWidth="1" min="8" max="8"/>
    <col width="16" customWidth="1" min="9" max="9"/>
    <col width="10" customWidth="1" min="10" max="10"/>
  </cols>
  <sheetData>
    <row r="1" ht="28" customHeight="1">
      <c r="A1" s="19" t="inlineStr">
        <is>
          <t>EJEMPLOS NUMÉRICOS — CÁLCULO DE PÉRDIDA ESPERADA POR SOLICITANTE</t>
        </is>
      </c>
    </row>
    <row r="2" ht="14" customHeight="1">
      <c r="A2" s="2" t="inlineStr">
        <is>
          <t>Fuente: Home Credit Default Risk | Valores ilustrativos basados en distribución real del portafolio</t>
        </is>
      </c>
    </row>
    <row r="4" ht="28" customHeight="1">
      <c r="A4" s="4" t="inlineStr">
        <is>
          <t>ID Solicitud</t>
        </is>
      </c>
      <c r="B4" s="4" t="inlineStr">
        <is>
          <t>Tipo Crédito</t>
        </is>
      </c>
      <c r="C4" s="4" t="inlineStr">
        <is>
          <t>PD (modelo)</t>
        </is>
      </c>
      <c r="D4" s="4" t="inlineStr">
        <is>
          <t>Score (pts)</t>
        </is>
      </c>
      <c r="E4" s="4" t="inlineStr">
        <is>
          <t>Decisión</t>
        </is>
      </c>
      <c r="F4" s="4" t="inlineStr">
        <is>
          <t>EAD (MXN)</t>
        </is>
      </c>
      <c r="G4" s="4" t="inlineStr">
        <is>
          <t>LGD estándar</t>
        </is>
      </c>
      <c r="H4" s="4" t="inlineStr">
        <is>
          <t>EL = PD×EAD×LGD</t>
        </is>
      </c>
      <c r="I4" s="4" t="inlineStr">
        <is>
          <t>% Reserva requerida</t>
        </is>
      </c>
      <c r="J4" s="4" t="inlineStr">
        <is>
          <t>Grado CUB</t>
        </is>
      </c>
    </row>
    <row r="5" ht="32" customHeight="1">
      <c r="A5" s="20" t="inlineStr">
        <is>
          <t>SOL-001</t>
        </is>
      </c>
      <c r="B5" s="11" t="inlineStr">
        <is>
          <t>Cash Loan</t>
        </is>
      </c>
      <c r="C5" s="21" t="n">
        <v>0.04</v>
      </c>
      <c r="D5" s="12">
        <f>ROUND(600+20*LOG(((1-C5)/C5),2),0)</f>
        <v/>
      </c>
      <c r="E5" s="22" t="inlineStr">
        <is>
          <t>APROBAR</t>
        </is>
      </c>
      <c r="F5" s="23" t="n">
        <v>185000</v>
      </c>
      <c r="G5" s="24" t="n">
        <v>0.45</v>
      </c>
      <c r="H5" s="25">
        <f>ROUND(C5*F5*G5,2)</f>
        <v/>
      </c>
      <c r="I5" s="12">
        <f>ROUND(H5/F5*100,1)&amp;"%"</f>
        <v/>
      </c>
      <c r="J5" s="20" t="inlineStr">
        <is>
          <t>A-2</t>
        </is>
      </c>
    </row>
    <row r="6" ht="32" customHeight="1">
      <c r="A6" s="26" t="inlineStr">
        <is>
          <t>SOL-002</t>
        </is>
      </c>
      <c r="B6" s="27" t="inlineStr">
        <is>
          <t>Cash Loan</t>
        </is>
      </c>
      <c r="C6" s="28" t="n">
        <v>0.18</v>
      </c>
      <c r="D6" s="29">
        <f>ROUND(600+20*LOG(((1-C6)/C6),2),0)</f>
        <v/>
      </c>
      <c r="E6" s="30" t="inlineStr">
        <is>
          <t>REVISAR</t>
        </is>
      </c>
      <c r="F6" s="31" t="n">
        <v>95000</v>
      </c>
      <c r="G6" s="32" t="n">
        <v>0.45</v>
      </c>
      <c r="H6" s="33">
        <f>ROUND(C6*F6*G6,2)</f>
        <v/>
      </c>
      <c r="I6" s="29">
        <f>ROUND(H6/F6*100,1)&amp;"%"</f>
        <v/>
      </c>
      <c r="J6" s="26" t="inlineStr">
        <is>
          <t>B-3</t>
        </is>
      </c>
    </row>
    <row r="7" ht="32" customHeight="1">
      <c r="A7" s="20" t="inlineStr">
        <is>
          <t>SOL-003</t>
        </is>
      </c>
      <c r="B7" s="11" t="inlineStr">
        <is>
          <t>Cash Loan</t>
        </is>
      </c>
      <c r="C7" s="21" t="n">
        <v>0.42</v>
      </c>
      <c r="D7" s="12">
        <f>ROUND(600+20*LOG(((1-C7)/C7),2),0)</f>
        <v/>
      </c>
      <c r="E7" s="34" t="inlineStr">
        <is>
          <t>RECHAZAR</t>
        </is>
      </c>
      <c r="F7" s="23" t="n">
        <v>230000</v>
      </c>
      <c r="G7" s="24" t="n">
        <v>0.45</v>
      </c>
      <c r="H7" s="25">
        <f>ROUND(C7*F7*G7,2)</f>
        <v/>
      </c>
      <c r="I7" s="12">
        <f>ROUND(H7/F7*100,1)&amp;"%"</f>
        <v/>
      </c>
      <c r="J7" s="20" t="inlineStr">
        <is>
          <t>C-2</t>
        </is>
      </c>
    </row>
    <row r="8" ht="32" customHeight="1">
      <c r="A8" s="26" t="inlineStr">
        <is>
          <t>SOL-004</t>
        </is>
      </c>
      <c r="B8" s="27" t="inlineStr">
        <is>
          <t>Revolving</t>
        </is>
      </c>
      <c r="C8" s="28" t="n">
        <v>0.07000000000000001</v>
      </c>
      <c r="D8" s="29">
        <f>ROUND(600+20*LOG(((1-C8)/C8),2),0)</f>
        <v/>
      </c>
      <c r="E8" s="22" t="inlineStr">
        <is>
          <t>APROBAR</t>
        </is>
      </c>
      <c r="F8" s="31" t="n">
        <v>50000</v>
      </c>
      <c r="G8" s="32" t="n">
        <v>0.6</v>
      </c>
      <c r="H8" s="33">
        <f>ROUND(C8*F8*G8,2)</f>
        <v/>
      </c>
      <c r="I8" s="29">
        <f>ROUND(H8/F8*100,1)&amp;"%"</f>
        <v/>
      </c>
      <c r="J8" s="26" t="inlineStr">
        <is>
          <t>A-2</t>
        </is>
      </c>
    </row>
    <row r="9" ht="32" customHeight="1">
      <c r="A9" s="20" t="inlineStr">
        <is>
          <t>SOL-005</t>
        </is>
      </c>
      <c r="B9" s="11" t="inlineStr">
        <is>
          <t>Revolving</t>
        </is>
      </c>
      <c r="C9" s="21" t="n">
        <v>0.35</v>
      </c>
      <c r="D9" s="12">
        <f>ROUND(600+20*LOG(((1-C9)/C9),2),0)</f>
        <v/>
      </c>
      <c r="E9" s="34" t="inlineStr">
        <is>
          <t>RECHAZAR</t>
        </is>
      </c>
      <c r="F9" s="23" t="n">
        <v>75000</v>
      </c>
      <c r="G9" s="24" t="n">
        <v>0.6</v>
      </c>
      <c r="H9" s="25">
        <f>ROUND(C9*F9*G9,2)</f>
        <v/>
      </c>
      <c r="I9" s="12">
        <f>ROUND(H9/F9*100,1)&amp;"%"</f>
        <v/>
      </c>
      <c r="J9" s="20" t="inlineStr">
        <is>
          <t>C-1</t>
        </is>
      </c>
    </row>
    <row r="10" ht="32" customHeight="1">
      <c r="A10" s="26" t="inlineStr">
        <is>
          <t>SOL-006</t>
        </is>
      </c>
      <c r="B10" s="27" t="inlineStr">
        <is>
          <t>Cash Loan
(con garantía real)</t>
        </is>
      </c>
      <c r="C10" s="28" t="n">
        <v>0.12</v>
      </c>
      <c r="D10" s="29">
        <f>ROUND(600+20*LOG(((1-C10)/C10),2),0)</f>
        <v/>
      </c>
      <c r="E10" s="30" t="inlineStr">
        <is>
          <t>REVISAR</t>
        </is>
      </c>
      <c r="F10" s="31" t="n">
        <v>420000</v>
      </c>
      <c r="G10" s="32" t="n">
        <v>0.35</v>
      </c>
      <c r="H10" s="33">
        <f>ROUND(C10*F10*G10,2)</f>
        <v/>
      </c>
      <c r="I10" s="29">
        <f>ROUND(H10/F10*100,1)&amp;"%"</f>
        <v/>
      </c>
      <c r="J10" s="26" t="inlineStr">
        <is>
          <t>B-1</t>
        </is>
      </c>
    </row>
    <row r="11" ht="32" customHeight="1">
      <c r="A11" s="20" t="inlineStr">
        <is>
          <t>SOL-007</t>
        </is>
      </c>
      <c r="B11" s="11" t="inlineStr">
        <is>
          <t>Cash Loan</t>
        </is>
      </c>
      <c r="C11" s="21" t="n">
        <v>0.02</v>
      </c>
      <c r="D11" s="12">
        <f>ROUND(600+20*LOG(((1-C11)/C11),2),0)</f>
        <v/>
      </c>
      <c r="E11" s="22" t="inlineStr">
        <is>
          <t>APROBAR</t>
        </is>
      </c>
      <c r="F11" s="23" t="n">
        <v>60000</v>
      </c>
      <c r="G11" s="24" t="n">
        <v>0.45</v>
      </c>
      <c r="H11" s="25">
        <f>ROUND(C11*F11*G11,2)</f>
        <v/>
      </c>
      <c r="I11" s="12">
        <f>ROUND(H11/F11*100,1)&amp;"%"</f>
        <v/>
      </c>
      <c r="J11" s="20" t="inlineStr">
        <is>
          <t>A-1</t>
        </is>
      </c>
    </row>
    <row r="12" ht="32" customHeight="1">
      <c r="A12" s="26" t="inlineStr">
        <is>
          <t>SOL-008</t>
        </is>
      </c>
      <c r="B12" s="27" t="inlineStr">
        <is>
          <t>Cash Loan</t>
        </is>
      </c>
      <c r="C12" s="28" t="n">
        <v>0.78</v>
      </c>
      <c r="D12" s="29">
        <f>ROUND(600+20*LOG(((1-C12)/C12),2),0)</f>
        <v/>
      </c>
      <c r="E12" s="34" t="inlineStr">
        <is>
          <t>RECHAZAR</t>
        </is>
      </c>
      <c r="F12" s="31" t="n">
        <v>310000</v>
      </c>
      <c r="G12" s="32" t="n">
        <v>0.45</v>
      </c>
      <c r="H12" s="33">
        <f>ROUND(C12*F12*G12,2)</f>
        <v/>
      </c>
      <c r="I12" s="29">
        <f>ROUND(H12/F12*100,1)&amp;"%"</f>
        <v/>
      </c>
      <c r="J12" s="26" t="inlineStr">
        <is>
          <t>D</t>
        </is>
      </c>
    </row>
    <row r="13" ht="22" customHeight="1">
      <c r="A13" s="35" t="inlineStr">
        <is>
          <t>TOTAL PORTAFOLIO (8 créditos ilustrativos)</t>
        </is>
      </c>
      <c r="F13" s="36">
        <f>SUM(F5:F12)</f>
        <v/>
      </c>
      <c r="H13" s="37">
        <f>SUM(H5:H12)</f>
        <v/>
      </c>
    </row>
  </sheetData>
  <mergeCells count="3">
    <mergeCell ref="A1:J1"/>
    <mergeCell ref="A13:E13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6" customWidth="1" min="4" max="4"/>
    <col width="20" customWidth="1" min="5" max="5"/>
    <col width="32" customWidth="1" min="6" max="6"/>
  </cols>
  <sheetData>
    <row r="1" ht="28" customHeight="1">
      <c r="A1" s="19" t="inlineStr">
        <is>
          <t>TABLA DE LGD ESTÁNDAR POR TIPO DE PRODUCTO Y GARANTÍA — CUB</t>
        </is>
      </c>
    </row>
    <row r="3" ht="26" customHeight="1">
      <c r="A3" s="4" t="inlineStr">
        <is>
          <t>Tipo de crédito</t>
        </is>
      </c>
      <c r="B3" s="4" t="inlineStr">
        <is>
          <t>Tipo de garantía</t>
        </is>
      </c>
      <c r="C3" s="4" t="inlineStr">
        <is>
          <t>LGD estándar CUB</t>
        </is>
      </c>
      <c r="D3" s="4" t="inlineStr">
        <is>
          <t>Rango observado</t>
        </is>
      </c>
      <c r="E3" s="4" t="inlineStr">
        <is>
          <t>Tasa de recuperación implícita</t>
        </is>
      </c>
      <c r="F3" s="4" t="inlineStr">
        <is>
          <t>Nota regulatoria</t>
        </is>
      </c>
    </row>
    <row r="4" ht="36" customHeight="1">
      <c r="A4" s="5" t="inlineStr">
        <is>
          <t>Cash Loan (crédito personal)</t>
        </is>
      </c>
      <c r="B4" s="7" t="inlineStr">
        <is>
          <t>Sin garantía (quirografario)</t>
        </is>
      </c>
      <c r="C4" s="38" t="inlineStr">
        <is>
          <t>0.45</t>
        </is>
      </c>
      <c r="D4" s="39" t="inlineStr">
        <is>
          <t>0.38 – 0.55</t>
        </is>
      </c>
      <c r="E4" s="38">
        <f>1-0.45</f>
        <v/>
      </c>
      <c r="F4" s="7" t="inlineStr">
        <is>
          <t>Valor base CUB para cartera de consumo sin colateral.</t>
        </is>
      </c>
    </row>
    <row r="5" ht="36" customHeight="1">
      <c r="A5" s="40" t="inlineStr">
        <is>
          <t>Revolving / Tarjeta de crédito</t>
        </is>
      </c>
      <c r="B5" s="27" t="inlineStr">
        <is>
          <t>Sin garantía</t>
        </is>
      </c>
      <c r="C5" s="32" t="inlineStr">
        <is>
          <t>0.60</t>
        </is>
      </c>
      <c r="D5" s="41" t="inlineStr">
        <is>
          <t>0.50 – 0.70</t>
        </is>
      </c>
      <c r="E5" s="32">
        <f>1-0.60</f>
        <v/>
      </c>
      <c r="F5" s="27" t="inlineStr">
        <is>
          <t>Mayor LGD por naturaleza revolvente y menor prelación en quiebra.</t>
        </is>
      </c>
    </row>
    <row r="6" ht="36" customHeight="1">
      <c r="A6" s="5" t="inlineStr">
        <is>
          <t>Crédito automotriz</t>
        </is>
      </c>
      <c r="B6" s="7" t="inlineStr">
        <is>
          <t>Prendaria (vehículo)</t>
        </is>
      </c>
      <c r="C6" s="38" t="inlineStr">
        <is>
          <t>0.25</t>
        </is>
      </c>
      <c r="D6" s="39" t="inlineStr">
        <is>
          <t>0.15 – 0.35</t>
        </is>
      </c>
      <c r="E6" s="38">
        <f>1-0.25</f>
        <v/>
      </c>
      <c r="F6" s="7" t="inlineStr">
        <is>
          <t>El vehículo como garantía permite recuperación vía remate.</t>
        </is>
      </c>
    </row>
    <row r="7" ht="36" customHeight="1">
      <c r="A7" s="40" t="inlineStr">
        <is>
          <t>Crédito hipotecario</t>
        </is>
      </c>
      <c r="B7" s="27" t="inlineStr">
        <is>
          <t>Real (inmueble)</t>
        </is>
      </c>
      <c r="C7" s="32" t="inlineStr">
        <is>
          <t>0.20</t>
        </is>
      </c>
      <c r="D7" s="41" t="inlineStr">
        <is>
          <t>0.10 – 0.30</t>
        </is>
      </c>
      <c r="E7" s="32">
        <f>1-0.20</f>
        <v/>
      </c>
      <c r="F7" s="27" t="inlineStr">
        <is>
          <t>Menor LGD por garantía hipotecaria. Sujeto a avalúo vigente.</t>
        </is>
      </c>
    </row>
    <row r="8" ht="36" customHeight="1">
      <c r="A8" s="5" t="inlineStr">
        <is>
          <t>Crédito con aval</t>
        </is>
      </c>
      <c r="B8" s="7" t="inlineStr">
        <is>
          <t>Personal (fiador solidario)</t>
        </is>
      </c>
      <c r="C8" s="38" t="inlineStr">
        <is>
          <t>0.35</t>
        </is>
      </c>
      <c r="D8" s="39" t="inlineStr">
        <is>
          <t>0.25 – 0.45</t>
        </is>
      </c>
      <c r="E8" s="38">
        <f>1-0.35</f>
        <v/>
      </c>
      <c r="F8" s="7" t="inlineStr">
        <is>
          <t>Recuperación depende de solvencia del aval. Riesgo de correlación.</t>
        </is>
      </c>
    </row>
    <row r="9" ht="36" customHeight="1">
      <c r="A9" s="40" t="inlineStr">
        <is>
          <t>Crédito nómina</t>
        </is>
      </c>
      <c r="B9" s="27" t="inlineStr">
        <is>
          <t>Domiciliación (descuento de nómina)</t>
        </is>
      </c>
      <c r="C9" s="32" t="inlineStr">
        <is>
          <t>0.15</t>
        </is>
      </c>
      <c r="D9" s="41" t="inlineStr">
        <is>
          <t>0.08 – 0.25</t>
        </is>
      </c>
      <c r="E9" s="32">
        <f>1-0.15</f>
        <v/>
      </c>
      <c r="F9" s="27" t="inlineStr">
        <is>
          <t>LGD mínimo: descuento automático de nómina reduce riesgo de no pago.</t>
        </is>
      </c>
    </row>
    <row r="10" ht="36" customHeight="1">
      <c r="A10" s="5" t="inlineStr">
        <is>
          <t>Microcrédito grupal</t>
        </is>
      </c>
      <c r="B10" s="7" t="inlineStr">
        <is>
          <t>Solidaria (grupo de acreditados)</t>
        </is>
      </c>
      <c r="C10" s="38" t="inlineStr">
        <is>
          <t>0.30</t>
        </is>
      </c>
      <c r="D10" s="39" t="inlineStr">
        <is>
          <t>0.20 – 0.40</t>
        </is>
      </c>
      <c r="E10" s="38">
        <f>1-0.30</f>
        <v/>
      </c>
      <c r="F10" s="7" t="inlineStr">
        <is>
          <t>Garantía colectiva. Eficiente en microfinanzas, dependiente de cohesión grupal.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2026-06-01T19:47:36Z</dcterms:created>
  <dcterms:modified xmlns:dcterms="http://purl.org/dc/terms/" xmlns:xsi="http://www.w3.org/2001/XMLSchema-instance" xsi:type="dcterms:W3CDTF">2026-06-01T19:47:36Z</dcterms:modified>
</cp:coreProperties>
</file>